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usigma-my.sharepoint.com/personal/maria_daniels_mu-sigma_com/Documents/Documents/exel/"/>
    </mc:Choice>
  </mc:AlternateContent>
  <xr:revisionPtr revIDLastSave="45" documentId="8_{5EB6F39B-016E-4168-A8C8-22C4E1775C1D}" xr6:coauthVersionLast="47" xr6:coauthVersionMax="47" xr10:uidLastSave="{EDBA8A55-5B98-479E-9C20-2E92142B00C7}"/>
  <bookViews>
    <workbookView xWindow="-110" yWindow="-110" windowWidth="19420" windowHeight="10300" xr2:uid="{7E36AAAB-D706-4463-8B8E-FC781FC93857}"/>
  </bookViews>
  <sheets>
    <sheet name="Error Log" sheetId="1" r:id="rId1"/>
    <sheet name="Name_Converstion" sheetId="3" r:id="rId2"/>
    <sheet name="Sheet2" sheetId="2" state="hidden" r:id="rId3"/>
  </sheets>
  <definedNames>
    <definedName name="_xlnm._FilterDatabase" localSheetId="0" hidden="1">'Error Log'!$B$2:$P$27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alcChain>
</file>

<file path=xl/sharedStrings.xml><?xml version="1.0" encoding="utf-8"?>
<sst xmlns="http://schemas.openxmlformats.org/spreadsheetml/2006/main" count="413" uniqueCount="246">
  <si>
    <t>Rollout Date</t>
  </si>
  <si>
    <t>Monday Number</t>
  </si>
  <si>
    <t>IB Number</t>
  </si>
  <si>
    <t>Deliverable Name</t>
  </si>
  <si>
    <t>Type of Deliverable</t>
  </si>
  <si>
    <t>Owner</t>
  </si>
  <si>
    <t>Peer 1</t>
  </si>
  <si>
    <t>Peer 2</t>
  </si>
  <si>
    <t>POD</t>
  </si>
  <si>
    <t xml:space="preserve">Error </t>
  </si>
  <si>
    <t>Error Type</t>
  </si>
  <si>
    <t>Error Description</t>
  </si>
  <si>
    <t>Impact</t>
  </si>
  <si>
    <t>Mitigation</t>
  </si>
  <si>
    <t>Discussed in QH</t>
  </si>
  <si>
    <t>OFW0067</t>
  </si>
  <si>
    <t>MON_9479119469_OFW_Quick Hit_2025-07-08</t>
  </si>
  <si>
    <t>PA</t>
  </si>
  <si>
    <t>JS</t>
  </si>
  <si>
    <t>TM</t>
  </si>
  <si>
    <t>ED</t>
  </si>
  <si>
    <t>Client</t>
  </si>
  <si>
    <t>Repeated</t>
  </si>
  <si>
    <t>Miscommunication in the number of qualifers shared in the PA summary</t>
  </si>
  <si>
    <t>The Point Allocation Summary communication included an inaccurate number of qualifiers, leading to potential confusion and misalignment among stakeholders </t>
  </si>
  <si>
    <t xml:space="preserve">Creating a standard operating procedure (SOP) for sharing the PA summary mails 
</t>
  </si>
  <si>
    <t>Yes</t>
  </si>
  <si>
    <t>IB7337</t>
  </si>
  <si>
    <t>SUPP0000379 - Oral B</t>
  </si>
  <si>
    <t>Supplier</t>
  </si>
  <si>
    <t>PK</t>
  </si>
  <si>
    <t>BM</t>
  </si>
  <si>
    <t>DN</t>
  </si>
  <si>
    <t>RFC rule was not followed properly</t>
  </si>
  <si>
    <t>Will miss out on 53K members who are more privileged to receive the offer.</t>
  </si>
  <si>
    <t>Will QC the supplier carefully 
and thoroughly before passing it to the peers</t>
  </si>
  <si>
    <t>IB7375</t>
  </si>
  <si>
    <t>SUPP0060284 Norco Flavoured Milk</t>
  </si>
  <si>
    <t>YW</t>
  </si>
  <si>
    <t>RD</t>
  </si>
  <si>
    <t xml:space="preserve">Filler time period considered incorrectly </t>
  </si>
  <si>
    <t>387 deserving members will miss out the offers, resulting in a $9.7 monetory cost</t>
  </si>
  <si>
    <t xml:space="preserve">Add an additional check in the QC Checklist for the filler time periods </t>
  </si>
  <si>
    <t>13/8/2025</t>
  </si>
  <si>
    <t>IB7354</t>
  </si>
  <si>
    <t>Luv a Duck</t>
  </si>
  <si>
    <t>Banner</t>
  </si>
  <si>
    <t>AZ</t>
  </si>
  <si>
    <t xml:space="preserve">Around 1 Million members who is not eligible for the banner present in the banner final target table </t>
  </si>
  <si>
    <t>412,697  additional members  who were not supposed to be targeted would have received the banner</t>
  </si>
  <si>
    <t>Make a QC Checklist for targeted banners</t>
  </si>
  <si>
    <t>8/27/2025</t>
  </si>
  <si>
    <t>LQ3519</t>
  </si>
  <si>
    <t>MON_9734014644_LQL_Not Set_2025-08-21</t>
  </si>
  <si>
    <t>PCA</t>
  </si>
  <si>
    <t>YS</t>
  </si>
  <si>
    <t>HV</t>
  </si>
  <si>
    <t>1.Out of the qualifiers reported, 33 (62%) were reported incorrectly, which would have resulted in approximately 40K bonus points being extra awarded (52% of the total bonus points), making a monetary impact of $182 AUD
2.There is no impact in this campaign as there were no qualified members made a multiple transactions during the campaign period
3.Store ID was incorrect due to which the extra  sales of $1437 (75%) for Segment A is , $193(32%) for Segment B,$7534(68%) for segment C and sales uplift for Segment A is $1514 (100%) ,Segment B is  $189(32&amp;) , Segment C is $323(20%) .</t>
  </si>
  <si>
    <t>Creating a code templete for LAM 
with  3 different segment and 3 different store id for each segment.</t>
  </si>
  <si>
    <t>IB7369</t>
  </si>
  <si>
    <t>SUPP0000485-UBK</t>
  </si>
  <si>
    <t>VI</t>
  </si>
  <si>
    <t>SA</t>
  </si>
  <si>
    <t>Prioritisation time period considered incorectly for segment D.26 weeks considered instead of 78 weeks</t>
  </si>
  <si>
    <t>Around 82K potential members who were supposed to be prioritised were not prioritised. 0.4% of 82k= 329.8 * 500 bonus points = 164,908. 164,908/200(for $1 spent, 200 FB points) = $824</t>
  </si>
  <si>
    <t xml:space="preserve">Be more careful before passing the supplier </t>
  </si>
  <si>
    <t>IB7355</t>
  </si>
  <si>
    <t>MON_9479207361_ColesOnline_DeliverMore_OD_2025-08-04</t>
  </si>
  <si>
    <t>SUK</t>
  </si>
  <si>
    <t>AK</t>
  </si>
  <si>
    <t>New</t>
  </si>
  <si>
    <t>Store filter applied on transaction level instead of Member level'</t>
  </si>
  <si>
    <t xml:space="preserve">3823 Existing CFC shoppers made qualified purchase and got (~77k AUD) bonus points </t>
  </si>
  <si>
    <t>When you receive new condition sit with your peers and discuss with them</t>
  </si>
  <si>
    <t>IB7364</t>
  </si>
  <si>
    <t>SUPP0000362 - UBK</t>
  </si>
  <si>
    <t>SAM</t>
  </si>
  <si>
    <t>MG</t>
  </si>
  <si>
    <t>1.Prioritization was done wrong for one of the segment. 2.Sanitary exclusion was missed in Re-targeting segment.</t>
  </si>
  <si>
    <t>1) Around 16k potential members who were supposed to be prioritised were not prioritised, resulting in an estimated impact of approximately AUD 160 dollars, based on a 0.4% participation rate observed in the previous similar campaign.  2) 1 ineligible member would receive the offer.</t>
  </si>
  <si>
    <t>Creating a QC checklist which ensures right segment SKUs are considered in the txn_brnd_mbr_smy table</t>
  </si>
  <si>
    <t>IB7341</t>
  </si>
  <si>
    <t>SUPP0060285 Girgarre Cheddar TOMC</t>
  </si>
  <si>
    <t>Prioritisation time period for Segment A considered incorectly. 12 weeks considered instead of 64 weeks.</t>
  </si>
  <si>
    <t>We could have prioritized 700  more eligible members</t>
  </si>
  <si>
    <t>IB7347</t>
  </si>
  <si>
    <t>Banner Reporting PCA Request | Kleenex Banners | 02/07, 09/07 and 16/07</t>
  </si>
  <si>
    <t>Others</t>
  </si>
  <si>
    <t>1. Members who have shopped 3 or more units should be considered as Participants but member who shopped 3 or more different SKUs has been considered as Participants ( even after confirming the same with CM)2. Sales Figures of the Participants were reported wrongly</t>
  </si>
  <si>
    <t>1.Reported 2.2K members insted of 26K Memebers. 2.Reported sales are $168K more than the actual sales.Future campaign strategies will influenced by inaccurate data, which could reduce their effectiveness</t>
  </si>
  <si>
    <t>Create a QC checklist for banner reporting</t>
  </si>
  <si>
    <t>BUN0095</t>
  </si>
  <si>
    <t>MON_9710698750_BUN_Cleaning_On Demand_2025-08-27</t>
  </si>
  <si>
    <t>PCR</t>
  </si>
  <si>
    <t>SH</t>
  </si>
  <si>
    <t>SS</t>
  </si>
  <si>
    <t>AS</t>
  </si>
  <si>
    <t>During the Bunnings campaign PCR , offer IDs  were updated in the final data upload table but missed updating the corresponding offer IDs in the control member table. 
 this led to a mismatch in the segment-offer ID mapping.</t>
  </si>
  <si>
    <t>The error caused inaccuracies in the PCR data,  Since PCR outputs are used to feed dashboards, this could have led to misleading insights regarding control group behavior and offer performance , potentially influencing future planning decisions for Bunnings cleaning campaigns.</t>
  </si>
  <si>
    <t>To prevent recurrence, restructure the PCR code  template so that the owner  creates a temporary table and can validate the checks accordingly</t>
  </si>
  <si>
    <t>IB7439</t>
  </si>
  <si>
    <t>MON_9255687608_COL_OB__CUB_Solus_2025-09-29</t>
  </si>
  <si>
    <t>Solus</t>
  </si>
  <si>
    <t>9478284503</t>
  </si>
  <si>
    <t>ON0036</t>
  </si>
  <si>
    <t>MON_9478284503_ONP_On Demand_3KBP_2025-07-11</t>
  </si>
  <si>
    <t>Targeting</t>
  </si>
  <si>
    <t>During the execution of a One Pass acquisition campaign , included control stratification. The campaign brief did not mention the need for control stratification</t>
  </si>
  <si>
    <t>The inclusion of control stratification resulted in a portion of the target audience not receiving the offer. Based on historical participation rates (average 0.44%) and a control group size of 131,426, approximately 580 members may have missed the opportunity to register. This potentially translates to a projected revenue impact of around $23,276 AUD</t>
  </si>
  <si>
    <t>create a code template without control stratification for use in One Pass campaigns so that it doesn't repeat again.</t>
  </si>
  <si>
    <t>IB7461</t>
  </si>
  <si>
    <t>Banner Reporting PCA Request | Mentos | MON_8603239765</t>
  </si>
  <si>
    <t>RB</t>
  </si>
  <si>
    <t>1. Entirely wrong target base is considered for Reporting
2. Sales Figures reported was wrong
3. Transaction split (Online/ Offline) reported was wrong</t>
  </si>
  <si>
    <t>1.An additional 1,140 members would be included in the report, while 3,362 members would be missed.
2.A total of 10,680 incorrect sales records would have been reported.
3.There was a discrepancy of 331.68 AUD in online sales figures and 9,608.06 AUD in in-store sales figures.</t>
  </si>
  <si>
    <t>Sukhbir will create the base table for Banner Reporting PCAs moving forward</t>
  </si>
  <si>
    <t>HCF0252</t>
  </si>
  <si>
    <t>MON_8631504486_HCF_Solus_2025-11-05</t>
  </si>
  <si>
    <t>TE</t>
  </si>
  <si>
    <t>NV</t>
  </si>
  <si>
    <t>Last 90 days time filter was not considered while fetching members from Segment C</t>
  </si>
  <si>
    <t xml:space="preserve">This resulted in more than 40,345 extra members being targeted for the segment, which resulted in an incremental cost of $111.28 AUD to run the campaign </t>
  </si>
  <si>
    <t>Add a time filter check in the QC checklist to validate whether the time filter is required
Also Creating a Learning document of the tables used in HCF</t>
  </si>
  <si>
    <t>TG0553</t>
  </si>
  <si>
    <t>MON_8622526246_TAR_Solus_2025-10-08</t>
  </si>
  <si>
    <t>SD</t>
  </si>
  <si>
    <t>1. Wrong Final table used in PA process (Used normal tables insted Nexus Table )</t>
  </si>
  <si>
    <t>Because the old targeting tables were used instead of the Nexus tables, 20,241 eligible members were left out of the member counts for PA
As a result, their $549,302 worth of transactions weren’t considered for bonus points calculation - meaning 1,659,998 bonus points that should have been awarded were missed.
$8299.99 AUD worth of points would've not been allocated</t>
  </si>
  <si>
    <t>KM0579</t>
  </si>
  <si>
    <t>MON_8603316297_KMT_Solus_2025-10-06</t>
  </si>
  <si>
    <t>BH</t>
  </si>
  <si>
    <t>1. Wrong Final table used in PA process (Used normal tables insted Nexus Table )
2.Wrong Promo ID ,  tables used in PA - PCR</t>
  </si>
  <si>
    <t>As a result of using old tables:
6,239 eligible members were not captured in the campaign universe
630,808 bonus points were not awarded to qualifying members, $3,154 AUD worth of points would've not been allocated
$231,842 in eligible transactions were missed from the bonus calculation</t>
  </si>
  <si>
    <t>IB7462</t>
  </si>
  <si>
    <t>Fanta Lemon Campaign (SUPP0040298) - BEB</t>
  </si>
  <si>
    <t>BEB</t>
  </si>
  <si>
    <t>DH</t>
  </si>
  <si>
    <t>AM</t>
  </si>
  <si>
    <t>Qualifiers were pulled for all skus including free sku</t>
  </si>
  <si>
    <t>We would have missed 314 eligible members, causing customers to reach out again with queries about not receiving their points.</t>
  </si>
  <si>
    <t>I'll give BEB KT to the TDS 1 and TDS2</t>
  </si>
  <si>
    <t>IB7526</t>
  </si>
  <si>
    <t>MON_8631786258_COL_MKT_Solus_2025-11-05</t>
  </si>
  <si>
    <t>SR</t>
  </si>
  <si>
    <t>1. The targeting code given to Peer 2 to QC on the data upload day
2. Wrong channel considered in base table, should be E + W but only considered E members</t>
  </si>
  <si>
    <t>Around 92k Deserving members would have missed out from getting targeted</t>
  </si>
  <si>
    <t>IB7540</t>
  </si>
  <si>
    <t>MON_8631706519_COL_MKT_Solus_2025-11-17</t>
  </si>
  <si>
    <t>VP</t>
  </si>
  <si>
    <t>Coles online exclusion was applied on active persona. members who should be removed got W channel</t>
  </si>
  <si>
    <t>Impact of Non-Eligible Members A total of 110k non-eligible members would have received the offer. Collectively they would have generated transactions valued at $26.6 million and earned approximately 770 million bonus points, equivalent to $3.9 million in value.</t>
  </si>
  <si>
    <t>Creating a code templete for this type of campaigns</t>
  </si>
  <si>
    <t>MON_18316214567_TAR_OD_Womenswear_2025-11-06</t>
  </si>
  <si>
    <t>The data for PCR was inserted with the data which was not refreshed.</t>
  </si>
  <si>
    <t>The error caused inaccuracies in the PCR data,  Since PCR outputs are used to feed dashboards, this could have led to misleading insights regarding control group behavior and offer performance , potentially influencing future planning decisions for Target campaigns.</t>
  </si>
  <si>
    <t xml:space="preserve">1.	We will run the metadata insertion code on the day of campaign launch
2.	Adding the PCR code in the targeting code so that we don’t miss it out after each refresh
3.	Second level to run the PCR code before inserting
</t>
  </si>
  <si>
    <t>YES</t>
  </si>
  <si>
    <t>27/11/2025</t>
  </si>
  <si>
    <t>TG0568</t>
  </si>
  <si>
    <t>MON_10583596622_TAR_Onboarding_OD_2025-11-27</t>
  </si>
  <si>
    <t>QUICKHIT</t>
  </si>
  <si>
    <t>SI</t>
  </si>
  <si>
    <t>While implementing the exclusion logic for members who have not shopped between 31 to 365 days, I incorrectly applied the filter on the col Target_std_txn  as &lt; 31 OR &gt; 365.
With this logic, the  members whose  purchase the 31–365 day range will be considered , leading to an inaccurate result set.</t>
  </si>
  <si>
    <t>This will include around 50,000 ineligible members and would have cost us approximately 127.5 AUD (50,000 × 0.00255) for sending them the email.</t>
  </si>
  <si>
    <t>For any future targeting or segmentation changes, ensure collaborative verification by reviewing newly applied logic with the Level-2 team prior to execution.
 This will validate the logic correctness, prevent misinterpretation, and avoid inaccurate audience selection.</t>
  </si>
  <si>
    <t>NA</t>
  </si>
  <si>
    <t>IB7674</t>
  </si>
  <si>
    <t>Banner Reporting PCA Request | Spring Clean Vertical Banners</t>
  </si>
  <si>
    <t>Banner PCA</t>
  </si>
  <si>
    <t>Wrong target base is considered for Reporting</t>
  </si>
  <si>
    <t>Entirely incorrect metrics would have been reported for 6 banners</t>
  </si>
  <si>
    <t>Creating QC checklist for banner reporting</t>
  </si>
  <si>
    <t>yes</t>
  </si>
  <si>
    <t>BUN0116</t>
  </si>
  <si>
    <t>MON_9743392738_BUN_Solus_2026-01-28</t>
  </si>
  <si>
    <t>Incorrect target audience counts were shared, resulting in figures that were lower than the actual expected audience for the campaign. </t>
  </si>
  <si>
    <t>Fewer users targeted means lower impressions, clicks, conversions, or transactions, directly impacting campaign ROI and revenue</t>
  </si>
  <si>
    <r>
      <rPr>
        <sz val="10"/>
        <color rgb="FF000000"/>
        <rFont val="Arial"/>
      </rPr>
      <t>The audience counts will be validated at a segment level by comparing them with the expected segment-level counts provided in the brief and historical data of similar campaigns</t>
    </r>
    <r>
      <rPr>
        <b/>
        <sz val="10"/>
        <color rgb="FF000000"/>
        <rFont val="Arial"/>
      </rPr>
      <t> </t>
    </r>
  </si>
  <si>
    <t>TEL0175</t>
  </si>
  <si>
    <t>MON_9744166997_OPT_Solus_2026-02-19</t>
  </si>
  <si>
    <t>KJ</t>
  </si>
  <si>
    <t>SC</t>
  </si>
  <si>
    <t xml:space="preserve">During the targeting for the Optus campaign, the condition used to identify previous sends referenced the Braze send table instead of the actual target table from the main launch. As a result, the audience selection was not aligned with the original target list. Due to the random split logic, some members were selected again and received duplicate WOT communications. </t>
  </si>
  <si>
    <t>As a result, 272,581 members may have received different offers between the main launch and the reminder launch, amounting to  $2,180 AUD (272,581 × 0.008).</t>
  </si>
  <si>
    <t xml:space="preserve"> 1.A check will be added in the QC checklist to ensure the correct reference table is used for identifying previous sends during targeting
 2. A step will be added in the code template to ensure that for reminder campaigns, the main launch target table is used instead of the Braze send table for previous send members </t>
  </si>
  <si>
    <t>No</t>
  </si>
  <si>
    <t>Name</t>
  </si>
  <si>
    <t>Short Form</t>
  </si>
  <si>
    <t>Karanraj</t>
  </si>
  <si>
    <t>Rudrash</t>
  </si>
  <si>
    <t>Dinesh</t>
  </si>
  <si>
    <t>Nivetha</t>
  </si>
  <si>
    <t>Balamurugan</t>
  </si>
  <si>
    <t>Aromal Ravi</t>
  </si>
  <si>
    <t>Aathikumar</t>
  </si>
  <si>
    <t>Asu Aakash</t>
  </si>
  <si>
    <t>ASU</t>
  </si>
  <si>
    <t>Meghana Ku</t>
  </si>
  <si>
    <t>Radhika Vinod</t>
  </si>
  <si>
    <t>RV</t>
  </si>
  <si>
    <t>Yathin U Shetty</t>
  </si>
  <si>
    <t>Yash Shashank</t>
  </si>
  <si>
    <t>Sukhbir Singh</t>
  </si>
  <si>
    <t>Mittapalli Vishal</t>
  </si>
  <si>
    <t>Dheeraj Atri</t>
  </si>
  <si>
    <t>Azeem Haque</t>
  </si>
  <si>
    <t>Pulkit K Golay</t>
  </si>
  <si>
    <t>Sethu Mohan R</t>
  </si>
  <si>
    <t>Shivam Mishra</t>
  </si>
  <si>
    <t>Rudraroop Basu</t>
  </si>
  <si>
    <t>Chaya Yashwan</t>
  </si>
  <si>
    <t>CY</t>
  </si>
  <si>
    <t>Niharka Sarma</t>
  </si>
  <si>
    <t>NS</t>
  </si>
  <si>
    <t>Kshitij Bhardwaj</t>
  </si>
  <si>
    <t>KB</t>
  </si>
  <si>
    <t>Shivsampat B</t>
  </si>
  <si>
    <t>SP</t>
  </si>
  <si>
    <t>Shivraj K</t>
  </si>
  <si>
    <t>SV</t>
  </si>
  <si>
    <t>Amandeep Singh</t>
  </si>
  <si>
    <t>AD</t>
  </si>
  <si>
    <t>Aaditya Chaturvedi</t>
  </si>
  <si>
    <t>AC</t>
  </si>
  <si>
    <t>Anusha SS</t>
  </si>
  <si>
    <t>AU</t>
  </si>
  <si>
    <t>Elakiyadharshini</t>
  </si>
  <si>
    <t>Khsitij Jain</t>
  </si>
  <si>
    <t>Jeshwin Samuel</t>
  </si>
  <si>
    <t>Samyuktha K</t>
  </si>
  <si>
    <t>Venkata Pavan</t>
  </si>
  <si>
    <t>PV</t>
  </si>
  <si>
    <t>Ammar Khan</t>
  </si>
  <si>
    <t>SaiCharith</t>
  </si>
  <si>
    <t>Shashank SS</t>
  </si>
  <si>
    <t>Noora Varsha</t>
  </si>
  <si>
    <t>Siddharth Daga</t>
  </si>
  <si>
    <t>Venkata B</t>
  </si>
  <si>
    <t>Error</t>
  </si>
  <si>
    <t>Type of deliverables</t>
  </si>
  <si>
    <t>Duolous</t>
  </si>
  <si>
    <t>Collab</t>
  </si>
  <si>
    <t>HSP</t>
  </si>
  <si>
    <t>Repurchase</t>
  </si>
  <si>
    <t>Adhoc</t>
  </si>
  <si>
    <t>SAHANA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</si>
</sst>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0"/>
      <name val="Aptos Narrow"/>
      <family val="2"/>
      <scheme val="minor"/>
    </font>
    <font>
      <sz val="11"/>
      <color rgb="FF242424"/>
      <name val="Aptos Narrow"/>
      <charset val="1"/>
    </font>
    <font>
      <sz val="10"/>
      <color rgb="FF000000"/>
      <name val="Arial"/>
      <family val="2"/>
    </font>
    <font>
      <sz val="11"/>
      <color theme="1"/>
      <name val="Segoe UI"/>
    </font>
    <font>
      <sz val="10"/>
      <color rgb="FF000000"/>
      <name val="Calibri"/>
    </font>
    <font>
      <sz val="11"/>
      <color rgb="FF000000"/>
      <name val="Calibri"/>
      <charset val="1"/>
    </font>
    <font>
      <sz val="10"/>
      <color rgb="FF000000"/>
      <name val="Arial"/>
      <charset val="1"/>
    </font>
    <font>
      <sz val="10"/>
      <color theme="1"/>
      <name val="Calibri"/>
    </font>
    <font>
      <sz val="10"/>
      <color rgb="FF000000"/>
      <name val="Calibri"/>
      <charset val="1"/>
    </font>
    <font>
      <sz val="11"/>
      <color rgb="FF000000"/>
      <name val="Aptos Narrow"/>
      <charset val="1"/>
    </font>
    <font>
      <sz val="10"/>
      <color theme="1"/>
      <name val="Aptos Narrow"/>
      <family val="2"/>
      <scheme val="minor"/>
    </font>
    <font>
      <sz val="10"/>
      <color rgb="FF000000"/>
      <name val="Arial"/>
    </font>
    <font>
      <b/>
      <sz val="10"/>
      <color rgb="FF000000"/>
      <name val="Arial"/>
    </font>
    <font>
      <sz val="11"/>
      <color rgb="FF000000"/>
      <name val="Calibri"/>
    </font>
    <font>
      <b/>
      <sz val="11"/>
      <name val="Calibri"/>
      <family val="2"/>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4" fontId="0" fillId="0" borderId="7" xfId="0" applyNumberFormat="1" applyBorder="1"/>
    <xf numFmtId="0" fontId="1" fillId="2" borderId="7" xfId="0" applyFont="1" applyFill="1" applyBorder="1" applyAlignment="1">
      <alignment horizontal="center" vertical="center" wrapText="1"/>
    </xf>
    <xf numFmtId="0" fontId="1" fillId="2" borderId="7" xfId="0" applyFont="1"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left" vertical="center"/>
    </xf>
    <xf numFmtId="0" fontId="0" fillId="0" borderId="7" xfId="0" applyBorder="1" applyAlignment="1">
      <alignment vertical="center" wrapText="1"/>
    </xf>
    <xf numFmtId="0" fontId="7" fillId="0" borderId="7" xfId="0" applyFont="1" applyBorder="1"/>
    <xf numFmtId="0" fontId="0" fillId="0" borderId="7" xfId="0" applyBorder="1" applyAlignment="1">
      <alignment vertical="center"/>
    </xf>
    <xf numFmtId="14" fontId="0" fillId="0" borderId="7" xfId="0" applyNumberFormat="1" applyBorder="1" applyAlignment="1">
      <alignment horizontal="center" vertical="center"/>
    </xf>
    <xf numFmtId="0" fontId="2" fillId="0" borderId="7" xfId="0" applyFont="1" applyBorder="1" applyAlignment="1">
      <alignment vertical="center" wrapText="1"/>
    </xf>
    <xf numFmtId="0" fontId="3" fillId="0" borderId="7" xfId="0" applyFont="1" applyBorder="1" applyAlignment="1">
      <alignment horizontal="left" vertical="center" wrapText="1"/>
    </xf>
    <xf numFmtId="14" fontId="4" fillId="0" borderId="7"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14" fontId="4" fillId="0" borderId="7" xfId="0" applyNumberFormat="1" applyFont="1" applyBorder="1" applyAlignment="1">
      <alignment vertical="center" wrapText="1"/>
    </xf>
    <xf numFmtId="14" fontId="0" fillId="0" borderId="7" xfId="0" applyNumberFormat="1" applyBorder="1" applyAlignment="1">
      <alignment vertical="center"/>
    </xf>
    <xf numFmtId="14" fontId="3" fillId="0" borderId="7" xfId="0" applyNumberFormat="1" applyFont="1" applyBorder="1" applyAlignment="1">
      <alignment vertical="center" wrapText="1"/>
    </xf>
    <xf numFmtId="0" fontId="0" fillId="0" borderId="7" xfId="0" applyBorder="1" applyAlignment="1">
      <alignment horizontal="center"/>
    </xf>
    <xf numFmtId="0" fontId="0" fillId="0" borderId="7" xfId="0" applyBorder="1"/>
    <xf numFmtId="0" fontId="0" fillId="0" borderId="7" xfId="0" applyBorder="1" applyAlignment="1">
      <alignment horizontal="left"/>
    </xf>
    <xf numFmtId="0" fontId="0" fillId="0" borderId="7" xfId="0" applyBorder="1" applyAlignment="1">
      <alignment wrapText="1"/>
    </xf>
    <xf numFmtId="0" fontId="5" fillId="0" borderId="7" xfId="0" applyFont="1" applyBorder="1" applyAlignment="1">
      <alignment horizontal="left" vertical="center"/>
    </xf>
    <xf numFmtId="0" fontId="5" fillId="0" borderId="7" xfId="0" applyFont="1" applyBorder="1" applyProtection="1">
      <protection locked="0"/>
    </xf>
    <xf numFmtId="0" fontId="2" fillId="0" borderId="7" xfId="0" applyFont="1" applyBorder="1"/>
    <xf numFmtId="0" fontId="6" fillId="0" borderId="7" xfId="0" applyFont="1" applyBorder="1" applyAlignment="1">
      <alignment wrapText="1"/>
    </xf>
    <xf numFmtId="0" fontId="9" fillId="0" borderId="7" xfId="0" applyFont="1" applyBorder="1"/>
    <xf numFmtId="0" fontId="8" fillId="0" borderId="7" xfId="0" applyFont="1" applyBorder="1"/>
    <xf numFmtId="0" fontId="5" fillId="0" borderId="7" xfId="0" applyFont="1" applyBorder="1" applyAlignment="1" applyProtection="1">
      <alignment vertical="top" wrapText="1"/>
      <protection locked="0"/>
    </xf>
    <xf numFmtId="0" fontId="8" fillId="0" borderId="7" xfId="0" applyFont="1" applyBorder="1" applyProtection="1">
      <protection locked="0"/>
    </xf>
    <xf numFmtId="14" fontId="8" fillId="0" borderId="7" xfId="0" applyNumberFormat="1" applyFont="1" applyBorder="1" applyAlignment="1">
      <alignment horizontal="left"/>
    </xf>
    <xf numFmtId="0" fontId="8" fillId="0" borderId="7" xfId="0" applyFont="1" applyBorder="1" applyAlignment="1">
      <alignment horizontal="center"/>
    </xf>
    <xf numFmtId="0" fontId="8" fillId="0" borderId="7" xfId="0" applyFont="1" applyBorder="1" applyAlignment="1" applyProtection="1">
      <alignment wrapText="1"/>
      <protection locked="0"/>
    </xf>
    <xf numFmtId="0" fontId="8" fillId="3" borderId="7" xfId="0" applyFont="1" applyFill="1" applyBorder="1"/>
    <xf numFmtId="14" fontId="0" fillId="0" borderId="3" xfId="0" applyNumberFormat="1" applyBorder="1"/>
    <xf numFmtId="0" fontId="0" fillId="0" borderId="1" xfId="0" applyBorder="1" applyAlignment="1">
      <alignment wrapText="1"/>
    </xf>
    <xf numFmtId="1" fontId="0" fillId="0" borderId="1" xfId="0" applyNumberFormat="1" applyBorder="1"/>
    <xf numFmtId="0" fontId="10" fillId="0" borderId="0" xfId="0" applyFont="1"/>
    <xf numFmtId="14" fontId="0" fillId="0" borderId="8" xfId="0" applyNumberFormat="1" applyBorder="1"/>
    <xf numFmtId="0" fontId="0" fillId="0" borderId="1" xfId="0" applyBorder="1" applyAlignment="1">
      <alignment vertical="center" wrapText="1"/>
    </xf>
    <xf numFmtId="0" fontId="11" fillId="0" borderId="7" xfId="0" applyFont="1" applyBorder="1" applyAlignment="1">
      <alignment horizontal="left"/>
    </xf>
    <xf numFmtId="0" fontId="11" fillId="0" borderId="7" xfId="0" applyFont="1" applyBorder="1"/>
    <xf numFmtId="0" fontId="12" fillId="0" borderId="7" xfId="0" applyFont="1" applyBorder="1"/>
    <xf numFmtId="14" fontId="0" fillId="0" borderId="9" xfId="0" applyNumberFormat="1" applyBorder="1"/>
    <xf numFmtId="0" fontId="0" fillId="0" borderId="10" xfId="0" applyBorder="1"/>
    <xf numFmtId="0" fontId="0" fillId="0" borderId="11" xfId="0" applyBorder="1" applyAlignment="1">
      <alignment horizontal="center" vertical="center"/>
    </xf>
    <xf numFmtId="0" fontId="0" fillId="0" borderId="11" xfId="0" applyBorder="1"/>
    <xf numFmtId="0" fontId="7" fillId="0" borderId="12" xfId="0" applyFont="1" applyBorder="1" applyAlignment="1">
      <alignment wrapText="1"/>
    </xf>
    <xf numFmtId="0" fontId="7" fillId="0" borderId="11" xfId="0" applyFont="1" applyBorder="1"/>
    <xf numFmtId="0" fontId="14" fillId="0" borderId="13" xfId="0" applyFont="1" applyBorder="1" applyAlignment="1">
      <alignment wrapText="1"/>
    </xf>
    <xf numFmtId="0" fontId="15" fillId="0" borderId="0" xfId="0" applyFont="1" applyAlignment="1">
      <alignment horizontal="center" vertical="top"/>
    </xf>
    <xf numFmtId="0" fontId="0" fillId="0" borderId="0" xfId="0" applyAlignment="1">
      <alignment vertical="center" wrapText="1"/>
    </xf>
  </cellXfs>
  <cellStyles count="1">
    <cellStyle name="Normal" xfId="0" builtinId="0"/>
  </cellStyles>
  <dxfs count="3">
    <dxf>
      <font>
        <color theme="5" tint="-0.24994659260841701"/>
      </font>
      <fill>
        <patternFill>
          <bgColor theme="5" tint="0.59996337778862885"/>
        </patternFill>
      </fill>
    </dxf>
    <dxf>
      <font>
        <color theme="5" tint="-0.24994659260841701"/>
      </font>
      <fill>
        <patternFill>
          <bgColor theme="5" tint="0.59996337778862885"/>
        </patternFill>
      </fill>
    </dxf>
    <dxf>
      <font>
        <color theme="5" tint="-0.24994659260841701"/>
      </font>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68B3-D723-4F82-915D-45274FA59027}">
  <sheetPr filterMode="1"/>
  <dimension ref="A2:Q27"/>
  <sheetViews>
    <sheetView showGridLines="0" tabSelected="1" zoomScale="66" zoomScaleNormal="66" workbookViewId="0">
      <selection activeCell="I28" sqref="I28"/>
    </sheetView>
  </sheetViews>
  <sheetFormatPr defaultColWidth="8.7265625" defaultRowHeight="14.5" x14ac:dyDescent="0.35"/>
  <cols>
    <col min="1" max="1" width="3.54296875" style="2" customWidth="1"/>
    <col min="2" max="2" width="11.453125" style="3" bestFit="1" customWidth="1"/>
    <col min="3" max="3" width="17.453125" style="1" customWidth="1"/>
    <col min="4" max="4" width="12.1796875" style="1" bestFit="1" customWidth="1"/>
    <col min="5" max="5" width="61.54296875" style="1" bestFit="1" customWidth="1"/>
    <col min="6" max="6" width="14.81640625" style="1" bestFit="1" customWidth="1"/>
    <col min="7" max="7" width="10.7265625" style="1" bestFit="1" customWidth="1"/>
    <col min="8" max="9" width="10.453125" style="1" bestFit="1" customWidth="1"/>
    <col min="10" max="10" width="9" style="1" bestFit="1" customWidth="1"/>
    <col min="11" max="11" width="9.54296875" style="1" bestFit="1" customWidth="1"/>
    <col min="12" max="12" width="13.54296875" style="1" bestFit="1" customWidth="1"/>
    <col min="13" max="13" width="170.7265625" style="1" customWidth="1"/>
    <col min="14" max="14" width="170.54296875" style="1" bestFit="1" customWidth="1"/>
    <col min="15" max="15" width="53.1796875" style="1" customWidth="1"/>
    <col min="16" max="16" width="14.1796875" style="4" bestFit="1" customWidth="1"/>
    <col min="17" max="17" width="8.7265625" style="2"/>
    <col min="18" max="34" width="8.7265625" style="1"/>
    <col min="35" max="37" width="9.1796875" style="1" bestFit="1" customWidth="1"/>
    <col min="38" max="16384" width="8.7265625" style="1"/>
  </cols>
  <sheetData>
    <row r="2" spans="2:16" customFormat="1" ht="29" x14ac:dyDescent="0.35">
      <c r="B2" s="8" t="s">
        <v>0</v>
      </c>
      <c r="C2" s="9" t="s">
        <v>1</v>
      </c>
      <c r="D2" s="8" t="s">
        <v>2</v>
      </c>
      <c r="E2" s="9" t="s">
        <v>3</v>
      </c>
      <c r="F2" s="8" t="s">
        <v>4</v>
      </c>
      <c r="G2" s="9" t="s">
        <v>5</v>
      </c>
      <c r="H2" s="9" t="s">
        <v>6</v>
      </c>
      <c r="I2" s="9" t="s">
        <v>7</v>
      </c>
      <c r="J2" s="9" t="s">
        <v>8</v>
      </c>
      <c r="K2" s="9" t="s">
        <v>9</v>
      </c>
      <c r="L2" s="9" t="s">
        <v>10</v>
      </c>
      <c r="M2" s="9" t="s">
        <v>11</v>
      </c>
      <c r="N2" s="9" t="s">
        <v>12</v>
      </c>
      <c r="O2" s="9" t="s">
        <v>13</v>
      </c>
      <c r="P2" s="8" t="s">
        <v>14</v>
      </c>
    </row>
    <row r="3" spans="2:16" ht="43.5" hidden="1" x14ac:dyDescent="0.35">
      <c r="B3" s="10">
        <v>45846</v>
      </c>
      <c r="C3" s="10">
        <v>9479119469</v>
      </c>
      <c r="D3" s="10" t="s">
        <v>15</v>
      </c>
      <c r="E3" s="11" t="s">
        <v>16</v>
      </c>
      <c r="F3" s="10" t="s">
        <v>17</v>
      </c>
      <c r="G3" s="10" t="s">
        <v>18</v>
      </c>
      <c r="H3" s="10" t="s">
        <v>19</v>
      </c>
      <c r="I3" s="10" t="s">
        <v>20</v>
      </c>
      <c r="J3" s="10">
        <v>3</v>
      </c>
      <c r="K3" s="10" t="s">
        <v>21</v>
      </c>
      <c r="L3" s="10" t="s">
        <v>22</v>
      </c>
      <c r="M3" s="12" t="s">
        <v>23</v>
      </c>
      <c r="N3" s="13" t="s">
        <v>24</v>
      </c>
      <c r="O3" s="12" t="s">
        <v>25</v>
      </c>
      <c r="P3" s="14" t="s">
        <v>26</v>
      </c>
    </row>
    <row r="4" spans="2:16" ht="29" hidden="1" x14ac:dyDescent="0.35">
      <c r="B4" s="15">
        <v>45875</v>
      </c>
      <c r="C4" s="10">
        <v>8603171790</v>
      </c>
      <c r="D4" s="10" t="s">
        <v>27</v>
      </c>
      <c r="E4" s="11" t="s">
        <v>28</v>
      </c>
      <c r="F4" s="10" t="s">
        <v>29</v>
      </c>
      <c r="G4" s="10" t="s">
        <v>30</v>
      </c>
      <c r="H4" s="10" t="s">
        <v>31</v>
      </c>
      <c r="I4" s="10" t="s">
        <v>32</v>
      </c>
      <c r="J4" s="10">
        <v>2</v>
      </c>
      <c r="K4" s="10" t="s">
        <v>5</v>
      </c>
      <c r="L4" s="10" t="s">
        <v>22</v>
      </c>
      <c r="M4" s="16" t="s">
        <v>33</v>
      </c>
      <c r="N4" s="12" t="s">
        <v>34</v>
      </c>
      <c r="O4" s="12" t="s">
        <v>35</v>
      </c>
      <c r="P4" s="14" t="s">
        <v>26</v>
      </c>
    </row>
    <row r="5" spans="2:16" ht="29" hidden="1" x14ac:dyDescent="0.35">
      <c r="B5" s="15">
        <v>45896</v>
      </c>
      <c r="C5" s="10">
        <v>8603182748</v>
      </c>
      <c r="D5" s="10" t="s">
        <v>36</v>
      </c>
      <c r="E5" s="11" t="s">
        <v>37</v>
      </c>
      <c r="F5" s="10" t="s">
        <v>29</v>
      </c>
      <c r="G5" s="10" t="s">
        <v>30</v>
      </c>
      <c r="H5" s="10" t="s">
        <v>38</v>
      </c>
      <c r="I5" s="10" t="s">
        <v>39</v>
      </c>
      <c r="J5" s="10">
        <v>2</v>
      </c>
      <c r="K5" s="10" t="s">
        <v>5</v>
      </c>
      <c r="L5" s="10" t="s">
        <v>22</v>
      </c>
      <c r="M5" s="12" t="s">
        <v>40</v>
      </c>
      <c r="N5" s="12" t="s">
        <v>41</v>
      </c>
      <c r="O5" s="12" t="s">
        <v>42</v>
      </c>
      <c r="P5" s="14" t="s">
        <v>26</v>
      </c>
    </row>
    <row r="6" spans="2:16" hidden="1" x14ac:dyDescent="0.35">
      <c r="B6" s="10" t="s">
        <v>43</v>
      </c>
      <c r="C6" s="10">
        <v>8603173787</v>
      </c>
      <c r="D6" s="10" t="s">
        <v>44</v>
      </c>
      <c r="E6" s="11" t="s">
        <v>45</v>
      </c>
      <c r="F6" s="10" t="s">
        <v>46</v>
      </c>
      <c r="G6" s="10" t="s">
        <v>47</v>
      </c>
      <c r="H6" s="10" t="s">
        <v>38</v>
      </c>
      <c r="I6" s="10" t="s">
        <v>32</v>
      </c>
      <c r="J6" s="10">
        <v>2</v>
      </c>
      <c r="K6" s="10" t="s">
        <v>6</v>
      </c>
      <c r="L6" s="10" t="s">
        <v>22</v>
      </c>
      <c r="M6" s="12" t="s">
        <v>48</v>
      </c>
      <c r="N6" s="12" t="s">
        <v>49</v>
      </c>
      <c r="O6" s="12" t="s">
        <v>50</v>
      </c>
      <c r="P6" s="14" t="s">
        <v>26</v>
      </c>
    </row>
    <row r="7" spans="2:16" ht="72.5" hidden="1" x14ac:dyDescent="0.35">
      <c r="B7" s="10" t="s">
        <v>51</v>
      </c>
      <c r="C7" s="10">
        <v>9734014644</v>
      </c>
      <c r="D7" s="10" t="s">
        <v>52</v>
      </c>
      <c r="E7" s="17" t="s">
        <v>53</v>
      </c>
      <c r="F7" s="10" t="s">
        <v>54</v>
      </c>
      <c r="G7" s="10" t="s">
        <v>55</v>
      </c>
      <c r="H7" s="10" t="s">
        <v>56</v>
      </c>
      <c r="I7" s="10" t="s">
        <v>32</v>
      </c>
      <c r="J7" s="10">
        <v>1</v>
      </c>
      <c r="K7" s="10" t="s">
        <v>5</v>
      </c>
      <c r="L7" s="10"/>
      <c r="M7" s="12" t="s">
        <v>11</v>
      </c>
      <c r="N7" s="12" t="s">
        <v>57</v>
      </c>
      <c r="O7" s="12" t="s">
        <v>58</v>
      </c>
      <c r="P7" s="14" t="s">
        <v>26</v>
      </c>
    </row>
    <row r="8" spans="2:16" s="5" customFormat="1" x14ac:dyDescent="0.35">
      <c r="B8" s="15">
        <v>45890</v>
      </c>
      <c r="C8" s="10">
        <v>8603176254</v>
      </c>
      <c r="D8" s="10" t="s">
        <v>59</v>
      </c>
      <c r="E8" s="11" t="s">
        <v>60</v>
      </c>
      <c r="F8" s="10" t="s">
        <v>29</v>
      </c>
      <c r="G8" s="10" t="s">
        <v>61</v>
      </c>
      <c r="H8" s="10" t="s">
        <v>38</v>
      </c>
      <c r="I8" s="10" t="s">
        <v>245</v>
      </c>
      <c r="J8" s="10">
        <v>2</v>
      </c>
      <c r="K8" s="10" t="s">
        <v>5</v>
      </c>
      <c r="L8" s="10" t="s">
        <v>22</v>
      </c>
      <c r="M8" s="12" t="s">
        <v>63</v>
      </c>
      <c r="N8" s="12" t="s">
        <v>64</v>
      </c>
      <c r="O8" s="12" t="s">
        <v>65</v>
      </c>
      <c r="P8" s="14" t="s">
        <v>26</v>
      </c>
    </row>
    <row r="9" spans="2:16" ht="29" x14ac:dyDescent="0.35">
      <c r="B9" s="18">
        <v>45873</v>
      </c>
      <c r="C9" s="19">
        <v>9479207361</v>
      </c>
      <c r="D9" s="19" t="s">
        <v>66</v>
      </c>
      <c r="E9" s="20" t="s">
        <v>67</v>
      </c>
      <c r="F9" s="19" t="s">
        <v>29</v>
      </c>
      <c r="G9" s="19" t="s">
        <v>68</v>
      </c>
      <c r="H9" s="19" t="s">
        <v>69</v>
      </c>
      <c r="I9" s="19" t="s">
        <v>245</v>
      </c>
      <c r="J9" s="10">
        <v>2</v>
      </c>
      <c r="K9" s="10" t="s">
        <v>21</v>
      </c>
      <c r="L9" s="10" t="s">
        <v>70</v>
      </c>
      <c r="M9" s="21" t="s">
        <v>71</v>
      </c>
      <c r="N9" s="12" t="s">
        <v>72</v>
      </c>
      <c r="O9" s="12" t="s">
        <v>73</v>
      </c>
      <c r="P9" s="14" t="s">
        <v>26</v>
      </c>
    </row>
    <row r="10" spans="2:16" s="6" customFormat="1" ht="29" x14ac:dyDescent="0.35">
      <c r="B10" s="22">
        <v>45889</v>
      </c>
      <c r="C10" s="10">
        <v>8603176282</v>
      </c>
      <c r="D10" s="10" t="s">
        <v>74</v>
      </c>
      <c r="E10" s="11" t="s">
        <v>75</v>
      </c>
      <c r="F10" s="10" t="s">
        <v>29</v>
      </c>
      <c r="G10" s="10" t="s">
        <v>76</v>
      </c>
      <c r="H10" s="10" t="s">
        <v>77</v>
      </c>
      <c r="I10" s="10" t="s">
        <v>245</v>
      </c>
      <c r="J10" s="10">
        <v>2</v>
      </c>
      <c r="K10" s="10" t="s">
        <v>5</v>
      </c>
      <c r="L10" s="10" t="s">
        <v>22</v>
      </c>
      <c r="M10" s="12" t="s">
        <v>78</v>
      </c>
      <c r="N10" s="12" t="s">
        <v>79</v>
      </c>
      <c r="O10" s="12" t="s">
        <v>80</v>
      </c>
      <c r="P10" s="14" t="s">
        <v>26</v>
      </c>
    </row>
    <row r="11" spans="2:16" hidden="1" x14ac:dyDescent="0.35">
      <c r="B11" s="22">
        <v>45876</v>
      </c>
      <c r="C11" s="10">
        <v>8603171767</v>
      </c>
      <c r="D11" s="10" t="s">
        <v>81</v>
      </c>
      <c r="E11" s="11" t="s">
        <v>82</v>
      </c>
      <c r="F11" s="10" t="s">
        <v>29</v>
      </c>
      <c r="G11" s="10" t="s">
        <v>55</v>
      </c>
      <c r="H11" s="10" t="s">
        <v>38</v>
      </c>
      <c r="I11" s="10" t="s">
        <v>32</v>
      </c>
      <c r="J11" s="10">
        <v>2</v>
      </c>
      <c r="K11" s="10" t="s">
        <v>6</v>
      </c>
      <c r="L11" s="10" t="s">
        <v>22</v>
      </c>
      <c r="M11" s="12" t="s">
        <v>83</v>
      </c>
      <c r="N11" s="14" t="s">
        <v>84</v>
      </c>
      <c r="O11" s="14" t="s">
        <v>65</v>
      </c>
      <c r="P11" s="14" t="s">
        <v>26</v>
      </c>
    </row>
    <row r="12" spans="2:16" hidden="1" x14ac:dyDescent="0.35">
      <c r="B12" s="23">
        <v>45833</v>
      </c>
      <c r="C12" s="10"/>
      <c r="D12" s="10" t="s">
        <v>85</v>
      </c>
      <c r="E12" s="11" t="s">
        <v>86</v>
      </c>
      <c r="F12" s="10" t="s">
        <v>87</v>
      </c>
      <c r="G12" s="10" t="s">
        <v>61</v>
      </c>
      <c r="H12" s="10" t="s">
        <v>38</v>
      </c>
      <c r="I12" s="10" t="s">
        <v>32</v>
      </c>
      <c r="J12" s="10">
        <v>2</v>
      </c>
      <c r="K12" s="10" t="s">
        <v>6</v>
      </c>
      <c r="L12" s="10" t="s">
        <v>22</v>
      </c>
      <c r="M12" s="14" t="s">
        <v>88</v>
      </c>
      <c r="N12" s="14" t="s">
        <v>89</v>
      </c>
      <c r="O12" s="14" t="s">
        <v>90</v>
      </c>
      <c r="P12" s="14" t="s">
        <v>26</v>
      </c>
    </row>
    <row r="13" spans="2:16" ht="43.5" hidden="1" x14ac:dyDescent="0.35">
      <c r="B13" s="7">
        <v>45896</v>
      </c>
      <c r="C13" s="24">
        <v>9710698750</v>
      </c>
      <c r="D13" s="25" t="s">
        <v>91</v>
      </c>
      <c r="E13" s="26" t="s">
        <v>92</v>
      </c>
      <c r="F13" s="24" t="s">
        <v>93</v>
      </c>
      <c r="G13" s="25" t="s">
        <v>94</v>
      </c>
      <c r="H13" s="25" t="s">
        <v>95</v>
      </c>
      <c r="I13" s="25" t="s">
        <v>96</v>
      </c>
      <c r="J13" s="25">
        <v>3</v>
      </c>
      <c r="K13" s="25" t="s">
        <v>5</v>
      </c>
      <c r="L13" s="25" t="s">
        <v>70</v>
      </c>
      <c r="M13" s="27" t="s">
        <v>97</v>
      </c>
      <c r="N13" s="27" t="s">
        <v>98</v>
      </c>
      <c r="O13" s="27" t="s">
        <v>99</v>
      </c>
      <c r="P13" s="25" t="s">
        <v>26</v>
      </c>
    </row>
    <row r="14" spans="2:16" hidden="1" x14ac:dyDescent="0.35">
      <c r="B14" s="7">
        <v>45929</v>
      </c>
      <c r="C14" s="24">
        <v>9255687608</v>
      </c>
      <c r="D14" s="25" t="s">
        <v>100</v>
      </c>
      <c r="E14" s="26" t="s">
        <v>101</v>
      </c>
      <c r="F14" s="24" t="s">
        <v>102</v>
      </c>
      <c r="G14" s="25" t="s">
        <v>94</v>
      </c>
      <c r="H14" s="25" t="s">
        <v>38</v>
      </c>
      <c r="I14" s="25" t="s">
        <v>31</v>
      </c>
      <c r="J14" s="25">
        <v>2</v>
      </c>
      <c r="K14" s="10" t="s">
        <v>5</v>
      </c>
      <c r="L14" s="25" t="s">
        <v>70</v>
      </c>
      <c r="M14" s="27"/>
      <c r="N14" s="27"/>
      <c r="O14" s="27"/>
      <c r="P14" s="25" t="s">
        <v>26</v>
      </c>
    </row>
    <row r="15" spans="2:16" ht="29" hidden="1" x14ac:dyDescent="0.35">
      <c r="B15" s="7">
        <v>45849</v>
      </c>
      <c r="C15" s="28" t="s">
        <v>103</v>
      </c>
      <c r="D15" s="29" t="s">
        <v>104</v>
      </c>
      <c r="E15" s="25" t="s">
        <v>105</v>
      </c>
      <c r="F15" s="25" t="s">
        <v>106</v>
      </c>
      <c r="G15" s="25" t="s">
        <v>94</v>
      </c>
      <c r="H15" s="25" t="s">
        <v>19</v>
      </c>
      <c r="I15" s="25" t="s">
        <v>96</v>
      </c>
      <c r="J15" s="25">
        <v>3</v>
      </c>
      <c r="K15" s="25" t="s">
        <v>5</v>
      </c>
      <c r="L15" s="25" t="s">
        <v>22</v>
      </c>
      <c r="M15" s="30" t="s">
        <v>107</v>
      </c>
      <c r="N15" s="31" t="s">
        <v>108</v>
      </c>
      <c r="O15" s="31" t="s">
        <v>109</v>
      </c>
      <c r="P15" s="25" t="s">
        <v>26</v>
      </c>
    </row>
    <row r="16" spans="2:16" ht="76.5" hidden="1" customHeight="1" x14ac:dyDescent="0.35">
      <c r="B16" s="7">
        <v>45929</v>
      </c>
      <c r="C16" s="24">
        <v>8603239765</v>
      </c>
      <c r="D16" s="25" t="s">
        <v>110</v>
      </c>
      <c r="E16" s="26" t="s">
        <v>111</v>
      </c>
      <c r="F16" s="24" t="s">
        <v>102</v>
      </c>
      <c r="G16" s="25" t="s">
        <v>112</v>
      </c>
      <c r="H16" s="25" t="s">
        <v>68</v>
      </c>
      <c r="I16" s="25" t="s">
        <v>32</v>
      </c>
      <c r="J16" s="25">
        <v>2</v>
      </c>
      <c r="K16" s="10" t="s">
        <v>6</v>
      </c>
      <c r="L16" s="25" t="s">
        <v>70</v>
      </c>
      <c r="M16" s="27" t="s">
        <v>113</v>
      </c>
      <c r="N16" s="27" t="s">
        <v>114</v>
      </c>
      <c r="O16" s="27" t="s">
        <v>115</v>
      </c>
      <c r="P16" s="25" t="s">
        <v>26</v>
      </c>
    </row>
    <row r="17" spans="2:16" ht="39.5" hidden="1" x14ac:dyDescent="0.35">
      <c r="B17" s="7">
        <v>45966</v>
      </c>
      <c r="C17" s="32">
        <v>8631504486</v>
      </c>
      <c r="D17" s="25" t="s">
        <v>116</v>
      </c>
      <c r="E17" s="33" t="s">
        <v>117</v>
      </c>
      <c r="F17" s="25" t="s">
        <v>102</v>
      </c>
      <c r="G17" s="25" t="s">
        <v>94</v>
      </c>
      <c r="H17" s="25" t="s">
        <v>118</v>
      </c>
      <c r="I17" s="25" t="s">
        <v>119</v>
      </c>
      <c r="J17" s="25">
        <v>3</v>
      </c>
      <c r="K17" s="25" t="s">
        <v>5</v>
      </c>
      <c r="L17" s="25" t="s">
        <v>22</v>
      </c>
      <c r="M17" s="34" t="s">
        <v>120</v>
      </c>
      <c r="N17" s="27" t="s">
        <v>121</v>
      </c>
      <c r="O17" s="38" t="s">
        <v>122</v>
      </c>
      <c r="P17" s="25" t="s">
        <v>26</v>
      </c>
    </row>
    <row r="18" spans="2:16" ht="43.5" hidden="1" x14ac:dyDescent="0.35">
      <c r="B18" s="7">
        <v>45938</v>
      </c>
      <c r="C18" s="25">
        <v>8622526246</v>
      </c>
      <c r="D18" s="25" t="s">
        <v>123</v>
      </c>
      <c r="E18" s="39" t="s">
        <v>124</v>
      </c>
      <c r="F18" s="25" t="s">
        <v>17</v>
      </c>
      <c r="G18" s="25" t="s">
        <v>125</v>
      </c>
      <c r="H18" s="25" t="s">
        <v>118</v>
      </c>
      <c r="I18" s="25" t="s">
        <v>96</v>
      </c>
      <c r="J18" s="25">
        <v>3</v>
      </c>
      <c r="K18" s="25" t="s">
        <v>5</v>
      </c>
      <c r="L18" s="25" t="s">
        <v>70</v>
      </c>
      <c r="M18" s="25" t="s">
        <v>126</v>
      </c>
      <c r="N18" s="27" t="s">
        <v>127</v>
      </c>
      <c r="O18" s="25"/>
      <c r="P18" s="25" t="s">
        <v>26</v>
      </c>
    </row>
    <row r="19" spans="2:16" ht="87" hidden="1" x14ac:dyDescent="0.35">
      <c r="B19" s="36">
        <v>45942</v>
      </c>
      <c r="C19" s="30">
        <v>8603316297</v>
      </c>
      <c r="D19" s="35" t="s">
        <v>128</v>
      </c>
      <c r="E19" s="33" t="s">
        <v>129</v>
      </c>
      <c r="F19" s="25" t="s">
        <v>17</v>
      </c>
      <c r="G19" s="37" t="s">
        <v>18</v>
      </c>
      <c r="H19" s="37" t="s">
        <v>130</v>
      </c>
      <c r="I19" s="37" t="s">
        <v>96</v>
      </c>
      <c r="J19" s="25">
        <v>3</v>
      </c>
      <c r="K19" s="25" t="s">
        <v>5</v>
      </c>
      <c r="L19" s="25" t="s">
        <v>70</v>
      </c>
      <c r="M19" s="27" t="s">
        <v>131</v>
      </c>
      <c r="N19" s="27" t="s">
        <v>132</v>
      </c>
      <c r="O19" s="25"/>
      <c r="P19" s="25" t="s">
        <v>26</v>
      </c>
    </row>
    <row r="20" spans="2:16" hidden="1" x14ac:dyDescent="0.35">
      <c r="B20" s="40">
        <v>45788</v>
      </c>
      <c r="C20" s="1">
        <v>8622526203</v>
      </c>
      <c r="D20" s="1" t="s">
        <v>133</v>
      </c>
      <c r="E20" s="1" t="s">
        <v>134</v>
      </c>
      <c r="F20" s="1" t="s">
        <v>135</v>
      </c>
      <c r="G20" s="1" t="s">
        <v>136</v>
      </c>
      <c r="H20" s="1" t="s">
        <v>137</v>
      </c>
      <c r="I20" s="1" t="s">
        <v>39</v>
      </c>
      <c r="J20" s="1">
        <v>2</v>
      </c>
      <c r="K20" s="1" t="s">
        <v>5</v>
      </c>
      <c r="L20" s="1" t="s">
        <v>70</v>
      </c>
      <c r="M20" s="1" t="s">
        <v>138</v>
      </c>
      <c r="N20" s="1" t="s">
        <v>139</v>
      </c>
      <c r="O20" s="1" t="s">
        <v>140</v>
      </c>
      <c r="P20" s="25" t="s">
        <v>26</v>
      </c>
    </row>
    <row r="21" spans="2:16" ht="29" hidden="1" x14ac:dyDescent="0.35">
      <c r="B21" s="40">
        <v>45966</v>
      </c>
      <c r="C21" s="42">
        <v>8631786258</v>
      </c>
      <c r="D21" s="1" t="s">
        <v>141</v>
      </c>
      <c r="E21" s="1" t="s">
        <v>142</v>
      </c>
      <c r="F21" s="1" t="s">
        <v>102</v>
      </c>
      <c r="G21" s="1" t="s">
        <v>143</v>
      </c>
      <c r="H21" s="1" t="s">
        <v>38</v>
      </c>
      <c r="I21" s="1" t="s">
        <v>39</v>
      </c>
      <c r="J21" s="1">
        <v>2</v>
      </c>
      <c r="K21" s="1" t="s">
        <v>6</v>
      </c>
      <c r="L21" s="1" t="s">
        <v>70</v>
      </c>
      <c r="M21" s="41" t="s">
        <v>144</v>
      </c>
      <c r="N21" s="41" t="s">
        <v>145</v>
      </c>
      <c r="P21" s="25" t="s">
        <v>26</v>
      </c>
    </row>
    <row r="22" spans="2:16" hidden="1" x14ac:dyDescent="0.35">
      <c r="B22" s="40">
        <v>45978</v>
      </c>
      <c r="C22" s="42">
        <v>8631706519</v>
      </c>
      <c r="D22" s="1" t="s">
        <v>146</v>
      </c>
      <c r="E22" s="1" t="s">
        <v>147</v>
      </c>
      <c r="F22" s="1" t="s">
        <v>102</v>
      </c>
      <c r="G22" s="1" t="s">
        <v>148</v>
      </c>
      <c r="H22" s="1" t="s">
        <v>137</v>
      </c>
      <c r="I22" s="1" t="s">
        <v>39</v>
      </c>
      <c r="J22" s="1">
        <v>2</v>
      </c>
      <c r="K22" s="1" t="s">
        <v>6</v>
      </c>
      <c r="L22" s="1" t="s">
        <v>70</v>
      </c>
      <c r="M22" s="1" t="s">
        <v>149</v>
      </c>
      <c r="N22" s="1" t="s">
        <v>150</v>
      </c>
      <c r="O22" s="1" t="s">
        <v>151</v>
      </c>
      <c r="P22" s="25" t="s">
        <v>26</v>
      </c>
    </row>
    <row r="23" spans="2:16" ht="87" hidden="1" x14ac:dyDescent="0.35">
      <c r="B23" s="40"/>
      <c r="C23" s="43"/>
      <c r="E23" s="1" t="s">
        <v>152</v>
      </c>
      <c r="F23" s="1" t="s">
        <v>93</v>
      </c>
      <c r="G23" s="1" t="s">
        <v>125</v>
      </c>
      <c r="H23" s="1" t="s">
        <v>19</v>
      </c>
      <c r="I23" s="1" t="s">
        <v>20</v>
      </c>
      <c r="J23" s="1">
        <v>3</v>
      </c>
      <c r="K23" s="10" t="s">
        <v>21</v>
      </c>
      <c r="L23" s="10" t="s">
        <v>70</v>
      </c>
      <c r="M23" s="41" t="s">
        <v>153</v>
      </c>
      <c r="N23" s="41" t="s">
        <v>154</v>
      </c>
      <c r="O23" s="41" t="s">
        <v>155</v>
      </c>
      <c r="P23" s="25" t="s">
        <v>156</v>
      </c>
    </row>
    <row r="24" spans="2:16" ht="72.5" hidden="1" x14ac:dyDescent="0.35">
      <c r="B24" s="44" t="s">
        <v>157</v>
      </c>
      <c r="C24" s="45">
        <v>10583596622</v>
      </c>
      <c r="D24" s="2" t="s">
        <v>158</v>
      </c>
      <c r="E24" s="1" t="s">
        <v>159</v>
      </c>
      <c r="F24" t="s">
        <v>160</v>
      </c>
      <c r="G24" s="1" t="s">
        <v>161</v>
      </c>
      <c r="H24" s="1" t="s">
        <v>130</v>
      </c>
      <c r="I24" s="1" t="s">
        <v>96</v>
      </c>
      <c r="J24" s="1">
        <v>3</v>
      </c>
      <c r="K24" s="10" t="s">
        <v>5</v>
      </c>
      <c r="L24" s="10" t="s">
        <v>70</v>
      </c>
      <c r="M24" s="41" t="s">
        <v>162</v>
      </c>
      <c r="N24" s="41" t="s">
        <v>163</v>
      </c>
      <c r="O24" s="41" t="s">
        <v>164</v>
      </c>
      <c r="P24" s="25" t="s">
        <v>156</v>
      </c>
    </row>
    <row r="25" spans="2:16" hidden="1" x14ac:dyDescent="0.35">
      <c r="B25" s="49">
        <v>46034</v>
      </c>
      <c r="C25" s="50" t="s">
        <v>165</v>
      </c>
      <c r="D25" s="5" t="s">
        <v>166</v>
      </c>
      <c r="E25" s="5" t="s">
        <v>167</v>
      </c>
      <c r="F25" s="5" t="s">
        <v>168</v>
      </c>
      <c r="G25" s="5" t="s">
        <v>55</v>
      </c>
      <c r="H25" s="5" t="s">
        <v>77</v>
      </c>
      <c r="I25" s="5" t="s">
        <v>31</v>
      </c>
      <c r="J25" s="5">
        <v>2</v>
      </c>
      <c r="K25" s="51" t="s">
        <v>6</v>
      </c>
      <c r="L25" s="51" t="s">
        <v>22</v>
      </c>
      <c r="M25" s="5" t="s">
        <v>169</v>
      </c>
      <c r="N25" s="5" t="s">
        <v>170</v>
      </c>
      <c r="O25" s="5" t="s">
        <v>171</v>
      </c>
      <c r="P25" s="52" t="s">
        <v>172</v>
      </c>
    </row>
    <row r="26" spans="2:16" hidden="1" x14ac:dyDescent="0.35">
      <c r="B26" s="7">
        <v>46044</v>
      </c>
      <c r="C26" s="46" t="str">
        <f>IFERROR(MID(E26,5,10),"-")</f>
        <v>9743392738</v>
      </c>
      <c r="D26" s="25" t="s">
        <v>173</v>
      </c>
      <c r="E26" s="47" t="s">
        <v>174</v>
      </c>
      <c r="F26" s="25" t="s">
        <v>102</v>
      </c>
      <c r="G26" s="25" t="s">
        <v>161</v>
      </c>
      <c r="H26" s="25" t="s">
        <v>19</v>
      </c>
      <c r="I26" s="25" t="s">
        <v>96</v>
      </c>
      <c r="J26" s="25">
        <v>3</v>
      </c>
      <c r="K26" s="24" t="s">
        <v>21</v>
      </c>
      <c r="L26" s="24" t="s">
        <v>70</v>
      </c>
      <c r="M26" s="13" t="s">
        <v>175</v>
      </c>
      <c r="N26" s="54" t="s">
        <v>176</v>
      </c>
      <c r="O26" s="48" t="s">
        <v>177</v>
      </c>
      <c r="P26" s="25" t="s">
        <v>26</v>
      </c>
    </row>
    <row r="27" spans="2:16" ht="101.5" hidden="1" x14ac:dyDescent="0.35">
      <c r="B27" s="7">
        <v>46072</v>
      </c>
      <c r="C27" s="46">
        <v>9744166997</v>
      </c>
      <c r="D27" s="25" t="s">
        <v>178</v>
      </c>
      <c r="E27" s="47" t="s">
        <v>179</v>
      </c>
      <c r="F27" s="25" t="s">
        <v>102</v>
      </c>
      <c r="G27" s="25" t="s">
        <v>180</v>
      </c>
      <c r="H27" s="25" t="s">
        <v>161</v>
      </c>
      <c r="I27" s="25" t="s">
        <v>181</v>
      </c>
      <c r="J27" s="25">
        <v>3</v>
      </c>
      <c r="K27" s="24" t="s">
        <v>21</v>
      </c>
      <c r="L27" s="24" t="s">
        <v>70</v>
      </c>
      <c r="M27" s="53" t="s">
        <v>182</v>
      </c>
      <c r="N27" s="25" t="s">
        <v>183</v>
      </c>
      <c r="O27" s="55" t="s">
        <v>184</v>
      </c>
      <c r="P27" s="25" t="s">
        <v>185</v>
      </c>
    </row>
  </sheetData>
  <autoFilter ref="B2:P27" xr:uid="{DDFA68B3-D723-4F82-915D-45274FA59027}">
    <filterColumn colId="7">
      <filters>
        <filter val="SA"/>
      </filters>
    </filterColumn>
  </autoFilter>
  <conditionalFormatting sqref="B19">
    <cfRule type="duplicateValues" dxfId="2" priority="2"/>
  </conditionalFormatting>
  <conditionalFormatting sqref="C15">
    <cfRule type="duplicateValues" dxfId="1" priority="6"/>
  </conditionalFormatting>
  <conditionalFormatting sqref="C26:C27">
    <cfRule type="duplicateValues" dxfId="0" priority="1"/>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1DD0160-BA21-4BAF-95C2-FC7446CE1579}">
          <x14:formula1>
            <xm:f>Sheet2!$A$3:$A$5</xm:f>
          </x14:formula1>
          <xm:sqref>J3:J8 J17:J19 J26:J2251</xm:sqref>
        </x14:dataValidation>
        <x14:dataValidation type="list" allowBlank="1" showInputMessage="1" showErrorMessage="1" xr:uid="{C514FE66-C305-459A-9745-DAE9AE28DAE7}">
          <x14:formula1>
            <xm:f>Sheet2!$B$3:$B$5</xm:f>
          </x14:formula1>
          <xm:sqref>K3:K8 K10:K11 I19 K17:K19 K23:K735</xm:sqref>
        </x14:dataValidation>
        <x14:dataValidation type="list" allowBlank="1" showInputMessage="1" showErrorMessage="1" xr:uid="{70C9EA1D-B217-4CF8-8554-1A843DD279B8}">
          <x14:formula1>
            <xm:f>Sheet2!$C$3:$C$4</xm:f>
          </x14:formula1>
          <xm:sqref>L3:L11 L17:L19 L23:L1377</xm:sqref>
        </x14:dataValidation>
        <x14:dataValidation type="list" allowBlank="1" showInputMessage="1" showErrorMessage="1" xr:uid="{7409AC07-0029-47E9-9DDE-141D02174D3E}">
          <x14:formula1>
            <xm:f>Sheet2!$D$3:$D$12</xm:f>
          </x14:formula1>
          <xm:sqref>F3:F8 F17:F19 F26:F1351</xm:sqref>
        </x14:dataValidation>
        <x14:dataValidation type="list" allowBlank="1" showInputMessage="1" showErrorMessage="1" xr:uid="{40A4C7BA-FF47-4B98-8BC0-6BEBB2288582}">
          <x14:formula1>
            <xm:f>Sheet2!$E$3:$E$4</xm:f>
          </x14:formula1>
          <xm:sqref>P3:P9 P26:P1144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D2D9-0413-442D-91E8-9BA8C9668BAB}">
  <dimension ref="A1:B40"/>
  <sheetViews>
    <sheetView topLeftCell="A24" workbookViewId="0">
      <selection activeCell="B34" sqref="B34"/>
    </sheetView>
  </sheetViews>
  <sheetFormatPr defaultRowHeight="14.5" x14ac:dyDescent="0.35"/>
  <cols>
    <col min="1" max="1" width="15.453125" bestFit="1" customWidth="1"/>
    <col min="2" max="2" width="9.81640625" bestFit="1" customWidth="1"/>
  </cols>
  <sheetData>
    <row r="1" spans="1:2" x14ac:dyDescent="0.35">
      <c r="A1" s="56" t="s">
        <v>186</v>
      </c>
      <c r="B1" s="56" t="s">
        <v>187</v>
      </c>
    </row>
    <row r="2" spans="1:2" x14ac:dyDescent="0.35">
      <c r="A2" t="s">
        <v>188</v>
      </c>
      <c r="B2" t="s">
        <v>180</v>
      </c>
    </row>
    <row r="3" spans="1:2" x14ac:dyDescent="0.35">
      <c r="A3" t="s">
        <v>189</v>
      </c>
      <c r="B3" t="s">
        <v>39</v>
      </c>
    </row>
    <row r="4" spans="1:2" x14ac:dyDescent="0.35">
      <c r="A4" t="s">
        <v>190</v>
      </c>
      <c r="B4" t="s">
        <v>32</v>
      </c>
    </row>
    <row r="5" spans="1:2" x14ac:dyDescent="0.35">
      <c r="A5" t="s">
        <v>191</v>
      </c>
      <c r="B5" t="s">
        <v>119</v>
      </c>
    </row>
    <row r="6" spans="1:2" x14ac:dyDescent="0.35">
      <c r="A6" t="s">
        <v>192</v>
      </c>
      <c r="B6" t="s">
        <v>31</v>
      </c>
    </row>
    <row r="7" spans="1:2" x14ac:dyDescent="0.35">
      <c r="A7" t="s">
        <v>193</v>
      </c>
      <c r="B7" t="s">
        <v>137</v>
      </c>
    </row>
    <row r="8" spans="1:2" x14ac:dyDescent="0.35">
      <c r="A8" t="s">
        <v>194</v>
      </c>
      <c r="B8" t="s">
        <v>69</v>
      </c>
    </row>
    <row r="9" spans="1:2" x14ac:dyDescent="0.35">
      <c r="A9" t="s">
        <v>195</v>
      </c>
      <c r="B9" t="s">
        <v>196</v>
      </c>
    </row>
    <row r="10" spans="1:2" x14ac:dyDescent="0.35">
      <c r="A10" t="s">
        <v>197</v>
      </c>
      <c r="B10" t="s">
        <v>77</v>
      </c>
    </row>
    <row r="11" spans="1:2" x14ac:dyDescent="0.35">
      <c r="A11" t="s">
        <v>198</v>
      </c>
      <c r="B11" t="s">
        <v>199</v>
      </c>
    </row>
    <row r="12" spans="1:2" x14ac:dyDescent="0.35">
      <c r="A12" t="s">
        <v>200</v>
      </c>
      <c r="B12" t="s">
        <v>55</v>
      </c>
    </row>
    <row r="13" spans="1:2" x14ac:dyDescent="0.35">
      <c r="A13" t="s">
        <v>201</v>
      </c>
      <c r="B13" t="s">
        <v>38</v>
      </c>
    </row>
    <row r="14" spans="1:2" x14ac:dyDescent="0.35">
      <c r="A14" t="s">
        <v>202</v>
      </c>
      <c r="B14" t="s">
        <v>68</v>
      </c>
    </row>
    <row r="15" spans="1:2" x14ac:dyDescent="0.35">
      <c r="A15" t="s">
        <v>203</v>
      </c>
      <c r="B15" t="s">
        <v>61</v>
      </c>
    </row>
    <row r="16" spans="1:2" x14ac:dyDescent="0.35">
      <c r="A16" t="s">
        <v>204</v>
      </c>
      <c r="B16" t="s">
        <v>136</v>
      </c>
    </row>
    <row r="17" spans="1:2" x14ac:dyDescent="0.35">
      <c r="A17" t="s">
        <v>205</v>
      </c>
      <c r="B17" t="s">
        <v>47</v>
      </c>
    </row>
    <row r="18" spans="1:2" x14ac:dyDescent="0.35">
      <c r="A18" t="s">
        <v>206</v>
      </c>
      <c r="B18" t="s">
        <v>30</v>
      </c>
    </row>
    <row r="19" spans="1:2" x14ac:dyDescent="0.35">
      <c r="A19" t="s">
        <v>207</v>
      </c>
      <c r="B19" t="s">
        <v>143</v>
      </c>
    </row>
    <row r="20" spans="1:2" x14ac:dyDescent="0.35">
      <c r="A20" t="s">
        <v>208</v>
      </c>
      <c r="B20" t="s">
        <v>94</v>
      </c>
    </row>
    <row r="21" spans="1:2" x14ac:dyDescent="0.35">
      <c r="A21" t="s">
        <v>209</v>
      </c>
      <c r="B21" t="s">
        <v>112</v>
      </c>
    </row>
    <row r="22" spans="1:2" x14ac:dyDescent="0.35">
      <c r="A22" t="s">
        <v>210</v>
      </c>
      <c r="B22" t="s">
        <v>211</v>
      </c>
    </row>
    <row r="23" spans="1:2" x14ac:dyDescent="0.35">
      <c r="A23" t="s">
        <v>212</v>
      </c>
      <c r="B23" t="s">
        <v>213</v>
      </c>
    </row>
    <row r="24" spans="1:2" x14ac:dyDescent="0.35">
      <c r="A24" t="s">
        <v>214</v>
      </c>
      <c r="B24" t="s">
        <v>215</v>
      </c>
    </row>
    <row r="25" spans="1:2" x14ac:dyDescent="0.35">
      <c r="A25" t="s">
        <v>216</v>
      </c>
      <c r="B25" t="s">
        <v>217</v>
      </c>
    </row>
    <row r="26" spans="1:2" x14ac:dyDescent="0.35">
      <c r="A26" t="s">
        <v>218</v>
      </c>
      <c r="B26" t="s">
        <v>219</v>
      </c>
    </row>
    <row r="27" spans="1:2" x14ac:dyDescent="0.35">
      <c r="A27" t="s">
        <v>220</v>
      </c>
      <c r="B27" t="s">
        <v>221</v>
      </c>
    </row>
    <row r="28" spans="1:2" x14ac:dyDescent="0.35">
      <c r="A28" t="s">
        <v>222</v>
      </c>
      <c r="B28" t="s">
        <v>223</v>
      </c>
    </row>
    <row r="29" spans="1:2" x14ac:dyDescent="0.35">
      <c r="A29" s="57" t="s">
        <v>224</v>
      </c>
      <c r="B29" s="57" t="s">
        <v>225</v>
      </c>
    </row>
    <row r="30" spans="1:2" x14ac:dyDescent="0.35">
      <c r="A30" s="57" t="s">
        <v>226</v>
      </c>
      <c r="B30" s="57" t="s">
        <v>20</v>
      </c>
    </row>
    <row r="31" spans="1:2" x14ac:dyDescent="0.35">
      <c r="A31" s="57" t="s">
        <v>227</v>
      </c>
      <c r="B31" s="57" t="s">
        <v>180</v>
      </c>
    </row>
    <row r="32" spans="1:2" x14ac:dyDescent="0.35">
      <c r="A32" s="57" t="s">
        <v>228</v>
      </c>
      <c r="B32" s="57" t="s">
        <v>18</v>
      </c>
    </row>
    <row r="33" spans="1:2" x14ac:dyDescent="0.35">
      <c r="A33" s="57" t="s">
        <v>229</v>
      </c>
      <c r="B33" s="57" t="s">
        <v>62</v>
      </c>
    </row>
    <row r="34" spans="1:2" x14ac:dyDescent="0.35">
      <c r="A34" s="57" t="s">
        <v>230</v>
      </c>
      <c r="B34" s="57" t="s">
        <v>231</v>
      </c>
    </row>
    <row r="35" spans="1:2" x14ac:dyDescent="0.35">
      <c r="A35" s="57" t="s">
        <v>232</v>
      </c>
      <c r="B35" s="57" t="s">
        <v>137</v>
      </c>
    </row>
    <row r="36" spans="1:2" x14ac:dyDescent="0.35">
      <c r="A36" s="57" t="s">
        <v>233</v>
      </c>
      <c r="B36" s="57" t="s">
        <v>181</v>
      </c>
    </row>
    <row r="37" spans="1:2" x14ac:dyDescent="0.35">
      <c r="A37" s="57" t="s">
        <v>234</v>
      </c>
      <c r="B37" s="57" t="s">
        <v>94</v>
      </c>
    </row>
    <row r="38" spans="1:2" x14ac:dyDescent="0.35">
      <c r="A38" s="57" t="s">
        <v>235</v>
      </c>
      <c r="B38" s="57" t="s">
        <v>119</v>
      </c>
    </row>
    <row r="39" spans="1:2" x14ac:dyDescent="0.35">
      <c r="A39" s="57" t="s">
        <v>236</v>
      </c>
      <c r="B39" s="57" t="s">
        <v>161</v>
      </c>
    </row>
    <row r="40" spans="1:2" x14ac:dyDescent="0.35">
      <c r="A40" s="57" t="s">
        <v>237</v>
      </c>
      <c r="B40" s="57" t="s">
        <v>130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945BE-3BA7-425F-BF75-6E828DF826F2}">
  <dimension ref="A2:E12"/>
  <sheetViews>
    <sheetView workbookViewId="0">
      <selection activeCell="C17" sqref="C17"/>
    </sheetView>
  </sheetViews>
  <sheetFormatPr defaultRowHeight="14.5" x14ac:dyDescent="0.35"/>
  <sheetData>
    <row r="2" spans="1:5" x14ac:dyDescent="0.35">
      <c r="A2" t="s">
        <v>8</v>
      </c>
      <c r="B2" t="s">
        <v>238</v>
      </c>
      <c r="C2" t="s">
        <v>10</v>
      </c>
      <c r="D2" t="s">
        <v>239</v>
      </c>
    </row>
    <row r="3" spans="1:5" x14ac:dyDescent="0.35">
      <c r="A3">
        <v>1</v>
      </c>
      <c r="B3" t="s">
        <v>5</v>
      </c>
      <c r="C3" t="s">
        <v>70</v>
      </c>
      <c r="D3" t="s">
        <v>102</v>
      </c>
      <c r="E3" t="s">
        <v>26</v>
      </c>
    </row>
    <row r="4" spans="1:5" x14ac:dyDescent="0.35">
      <c r="A4">
        <v>2</v>
      </c>
      <c r="B4" t="s">
        <v>6</v>
      </c>
      <c r="C4" t="s">
        <v>22</v>
      </c>
      <c r="D4" t="s">
        <v>240</v>
      </c>
      <c r="E4" t="s">
        <v>185</v>
      </c>
    </row>
    <row r="5" spans="1:5" x14ac:dyDescent="0.35">
      <c r="A5">
        <v>3</v>
      </c>
      <c r="B5" t="s">
        <v>21</v>
      </c>
      <c r="D5" t="s">
        <v>241</v>
      </c>
    </row>
    <row r="6" spans="1:5" x14ac:dyDescent="0.35">
      <c r="D6" t="s">
        <v>29</v>
      </c>
    </row>
    <row r="7" spans="1:5" x14ac:dyDescent="0.35">
      <c r="D7" t="s">
        <v>46</v>
      </c>
    </row>
    <row r="8" spans="1:5" x14ac:dyDescent="0.35">
      <c r="D8" t="s">
        <v>54</v>
      </c>
    </row>
    <row r="9" spans="1:5" x14ac:dyDescent="0.35">
      <c r="D9" t="s">
        <v>242</v>
      </c>
    </row>
    <row r="10" spans="1:5" x14ac:dyDescent="0.35">
      <c r="D10" t="s">
        <v>243</v>
      </c>
    </row>
    <row r="11" spans="1:5" x14ac:dyDescent="0.35">
      <c r="D11" t="s">
        <v>244</v>
      </c>
    </row>
    <row r="12" spans="1:5" x14ac:dyDescent="0.35">
      <c r="D12"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17D065C249F1458CB8354A869F4BA5" ma:contentTypeVersion="21" ma:contentTypeDescription="Create a new document." ma:contentTypeScope="" ma:versionID="b70cb07eff86d14135a5b65da9aa9ead">
  <xsd:schema xmlns:xsd="http://www.w3.org/2001/XMLSchema" xmlns:xs="http://www.w3.org/2001/XMLSchema" xmlns:p="http://schemas.microsoft.com/office/2006/metadata/properties" xmlns:ns1="http://schemas.microsoft.com/sharepoint/v3" xmlns:ns2="2260421e-e696-4c36-bc86-ab4f4887566a" xmlns:ns3="50c8ec5c-00a3-44d9-9629-927e8823181b" targetNamespace="http://schemas.microsoft.com/office/2006/metadata/properties" ma:root="true" ma:fieldsID="c70ade665b74142d9371c6619ef8a893" ns1:_="" ns2:_="" ns3:_="">
    <xsd:import namespace="http://schemas.microsoft.com/sharepoint/v3"/>
    <xsd:import namespace="2260421e-e696-4c36-bc86-ab4f4887566a"/>
    <xsd:import namespace="50c8ec5c-00a3-44d9-9629-927e8823181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Location" minOccurs="0"/>
                <xsd:element ref="ns3:MediaServiceSearchProperties"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60421e-e696-4c36-bc86-ab4f4887566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1aeda0f-0fc0-4ed8-be39-58f40ee8e750}" ma:internalName="TaxCatchAll" ma:showField="CatchAllData" ma:web="2260421e-e696-4c36-bc86-ab4f4887566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c8ec5c-00a3-44d9-9629-927e8823181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25a41b1-9a94-4e8a-88a3-c62a4f92b35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260421e-e696-4c36-bc86-ab4f4887566a" xsi:nil="true"/>
    <_ip_UnifiedCompliancePolicyUIAction xmlns="http://schemas.microsoft.com/sharepoint/v3" xsi:nil="true"/>
    <lcf76f155ced4ddcb4097134ff3c332f xmlns="50c8ec5c-00a3-44d9-9629-927e8823181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C3B298BF-25E8-46BA-9DE8-DCF1171FFF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60421e-e696-4c36-bc86-ab4f4887566a"/>
    <ds:schemaRef ds:uri="50c8ec5c-00a3-44d9-9629-927e882318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B6057F-A959-4F8E-984C-EB28D0896B30}">
  <ds:schemaRefs>
    <ds:schemaRef ds:uri="http://schemas.microsoft.com/sharepoint/v3/contenttype/forms"/>
  </ds:schemaRefs>
</ds:datastoreItem>
</file>

<file path=customXml/itemProps3.xml><?xml version="1.0" encoding="utf-8"?>
<ds:datastoreItem xmlns:ds="http://schemas.openxmlformats.org/officeDocument/2006/customXml" ds:itemID="{6AD69449-6A98-4E73-8650-98380FFF9950}">
  <ds:schemaRefs>
    <ds:schemaRef ds:uri="http://schemas.microsoft.com/office/2006/metadata/properties"/>
    <ds:schemaRef ds:uri="http://schemas.microsoft.com/office/infopath/2007/PartnerControls"/>
    <ds:schemaRef ds:uri="2260421e-e696-4c36-bc86-ab4f4887566a"/>
    <ds:schemaRef ds:uri="http://schemas.microsoft.com/sharepoint/v3"/>
    <ds:schemaRef ds:uri="50c8ec5c-00a3-44d9-9629-927e882318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Error Log</vt:lpstr>
      <vt:lpstr>Name_Converstion</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Harivignesh VL</dc:creator>
  <cp:keywords/>
  <dc:description/>
  <cp:lastModifiedBy>Maria Daniel S</cp:lastModifiedBy>
  <cp:revision/>
  <dcterms:created xsi:type="dcterms:W3CDTF">2025-09-11T01:47:04Z</dcterms:created>
  <dcterms:modified xsi:type="dcterms:W3CDTF">2026-04-02T06:23:57Z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0x0101003817D065C249F1458CB8354A869F4BA5</vt:lpwstr>
  </property>
  <property fmtid="{D5CDD505-2E9C-101B-9397-08002B2CF9AE}" pid="3" name="MediaServiceImageTags">
    <vt:lpwstr/>
  </property>
</Properties>
</file>